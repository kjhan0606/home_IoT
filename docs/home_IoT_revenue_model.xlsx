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입력" sheetId="1" state="visible" r:id="rId3"/>
    <sheet name="손익" sheetId="2" state="visible" r:id="rId4"/>
    <sheet name="민감도" sheetId="3" state="visible" r:id="rId5"/>
    <sheet name="등급표" sheetId="4" state="visible" r:id="rId6"/>
    <sheet name="가정·주의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<sst xmlns="http://schemas.openxmlformats.org/spreadsheetml/2006/main" count="126" uniqueCount="104">
  <si>
    <r>
      <rPr>
        <b val="true"/>
        <sz val="14"/>
        <rFont val="Noto Sans CJK SC"/>
        <family val="2"/>
      </rPr>
      <t xml:space="preserve">홈 </t>
    </r>
    <r>
      <rPr>
        <b val="true"/>
        <sz val="14"/>
        <rFont val="Cambria"/>
        <family val="0"/>
        <charset val="1"/>
      </rPr>
      <t xml:space="preserve">IoT </t>
    </r>
    <r>
      <rPr>
        <b val="true"/>
        <sz val="14"/>
        <rFont val="Noto Sans CJK SC"/>
        <family val="2"/>
      </rPr>
      <t xml:space="preserve">앱 수익 모델 – 입력값</t>
    </r>
  </si>
  <si>
    <r>
      <rPr>
        <sz val="11"/>
        <color theme="1"/>
        <rFont val="Noto Sans CJK SC"/>
        <family val="2"/>
      </rPr>
      <t xml:space="preserve">파란색 글자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직접 수정 가능한 입력값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검은색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수식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수정 금지</t>
    </r>
    <r>
      <rPr>
        <sz val="11"/>
        <color theme="1"/>
        <rFont val="Calibri"/>
        <family val="2"/>
        <charset val="1"/>
      </rPr>
      <t xml:space="preserve">)</t>
    </r>
  </si>
  <si>
    <t xml:space="preserve">항목</t>
  </si>
  <si>
    <t xml:space="preserve">값</t>
  </si>
  <si>
    <t xml:space="preserve">단위</t>
  </si>
  <si>
    <t xml:space="preserve">비고</t>
  </si>
  <si>
    <r>
      <rPr>
        <sz val="11"/>
        <color theme="1"/>
        <rFont val="Calibri"/>
        <family val="2"/>
        <charset val="1"/>
      </rPr>
      <t xml:space="preserve">Pro </t>
    </r>
    <r>
      <rPr>
        <sz val="11"/>
        <color theme="1"/>
        <rFont val="Noto Sans CJK SC"/>
        <family val="2"/>
      </rPr>
      <t xml:space="preserve">가격 </t>
    </r>
    <r>
      <rPr>
        <sz val="11"/>
        <color theme="1"/>
        <rFont val="Calibri"/>
        <family val="2"/>
        <charset val="1"/>
      </rPr>
      <t xml:space="preserve">(VAT </t>
    </r>
    <r>
      <rPr>
        <sz val="11"/>
        <color theme="1"/>
        <rFont val="Noto Sans CJK SC"/>
        <family val="2"/>
      </rPr>
      <t xml:space="preserve">포함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</si>
  <si>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월</t>
    </r>
  </si>
  <si>
    <r>
      <rPr>
        <sz val="11"/>
        <color theme="1"/>
        <rFont val="Noto Sans CJK SC"/>
        <family val="2"/>
      </rPr>
      <t xml:space="preserve">스토어 결제가 기준</t>
    </r>
    <r>
      <rPr>
        <sz val="11"/>
        <color theme="1"/>
        <rFont val="Calibri"/>
        <family val="2"/>
        <charset val="1"/>
      </rPr>
      <t xml:space="preserve">, VAT </t>
    </r>
    <r>
      <rPr>
        <sz val="11"/>
        <color theme="1"/>
        <rFont val="Noto Sans CJK SC"/>
        <family val="2"/>
      </rPr>
      <t xml:space="preserve">포함</t>
    </r>
  </si>
  <si>
    <r>
      <rPr>
        <sz val="11"/>
        <color theme="1"/>
        <rFont val="Calibri"/>
        <family val="2"/>
        <charset val="1"/>
      </rPr>
      <t xml:space="preserve">Max </t>
    </r>
    <r>
      <rPr>
        <sz val="11"/>
        <color theme="1"/>
        <rFont val="Noto Sans CJK SC"/>
        <family val="2"/>
      </rPr>
      <t xml:space="preserve">가격 </t>
    </r>
    <r>
      <rPr>
        <sz val="11"/>
        <color theme="1"/>
        <rFont val="Calibri"/>
        <family val="2"/>
        <charset val="1"/>
      </rPr>
      <t xml:space="preserve">(VAT </t>
    </r>
    <r>
      <rPr>
        <sz val="11"/>
        <color theme="1"/>
        <rFont val="Noto Sans CJK SC"/>
        <family val="2"/>
      </rPr>
      <t xml:space="preserve">포함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</si>
  <si>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VAT </t>
    </r>
    <r>
      <rPr>
        <sz val="11"/>
        <color theme="1"/>
        <rFont val="Noto Sans CJK SC"/>
        <family val="2"/>
      </rPr>
      <t xml:space="preserve">포함</t>
    </r>
  </si>
  <si>
    <r>
      <rPr>
        <sz val="11"/>
        <color theme="1"/>
        <rFont val="Calibri"/>
        <family val="2"/>
        <charset val="1"/>
      </rPr>
      <t xml:space="preserve">Mmax </t>
    </r>
    <r>
      <rPr>
        <sz val="11"/>
        <color theme="1"/>
        <rFont val="Noto Sans CJK SC"/>
        <family val="2"/>
      </rPr>
      <t xml:space="preserve">가격 </t>
    </r>
    <r>
      <rPr>
        <sz val="11"/>
        <color theme="1"/>
        <rFont val="Calibri"/>
        <family val="2"/>
        <charset val="1"/>
      </rPr>
      <t xml:space="preserve">(VAT </t>
    </r>
    <r>
      <rPr>
        <sz val="11"/>
        <color theme="1"/>
        <rFont val="Noto Sans CJK SC"/>
        <family val="2"/>
      </rPr>
      <t xml:space="preserve">포함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</si>
  <si>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부가세율 </t>
    </r>
    <r>
      <rPr>
        <sz val="11"/>
        <color theme="1"/>
        <rFont val="Calibri"/>
        <family val="2"/>
        <charset val="1"/>
      </rPr>
      <t xml:space="preserve">(VAT)</t>
    </r>
  </si>
  <si>
    <t xml:space="preserve">%</t>
  </si>
  <si>
    <r>
      <rPr>
        <sz val="11"/>
        <color theme="1"/>
        <rFont val="Noto Sans CJK SC"/>
        <family val="2"/>
      </rPr>
      <t xml:space="preserve">가격은 </t>
    </r>
    <r>
      <rPr>
        <sz val="11"/>
        <color theme="1"/>
        <rFont val="Calibri"/>
        <family val="2"/>
        <charset val="1"/>
      </rPr>
      <t xml:space="preserve">VAT </t>
    </r>
    <r>
      <rPr>
        <sz val="11"/>
        <color theme="1"/>
        <rFont val="Noto Sans CJK SC"/>
        <family val="2"/>
      </rPr>
      <t xml:space="preserve">포함 → 공급가액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가격 </t>
    </r>
    <r>
      <rPr>
        <sz val="11"/>
        <color theme="1"/>
        <rFont val="Calibri"/>
        <family val="2"/>
        <charset val="1"/>
      </rPr>
      <t xml:space="preserve">/ (1+VAT)</t>
    </r>
  </si>
  <si>
    <r>
      <rPr>
        <sz val="11"/>
        <color theme="1"/>
        <rFont val="Calibri"/>
        <family val="2"/>
        <charset val="1"/>
      </rPr>
      <t xml:space="preserve">Pro </t>
    </r>
    <r>
      <rPr>
        <sz val="11"/>
        <color theme="1"/>
        <rFont val="Noto Sans CJK SC"/>
        <family val="2"/>
      </rPr>
      <t xml:space="preserve">유료 사용자 수</t>
    </r>
  </si>
  <si>
    <t xml:space="preserve">명</t>
  </si>
  <si>
    <r>
      <rPr>
        <sz val="11"/>
        <color theme="1"/>
        <rFont val="Calibri"/>
        <family val="2"/>
        <charset val="1"/>
      </rPr>
      <t xml:space="preserve">Max </t>
    </r>
    <r>
      <rPr>
        <sz val="11"/>
        <color theme="1"/>
        <rFont val="Noto Sans CJK SC"/>
        <family val="2"/>
      </rPr>
      <t xml:space="preserve">유료 사용자 수</t>
    </r>
  </si>
  <si>
    <r>
      <rPr>
        <sz val="11"/>
        <color theme="1"/>
        <rFont val="Calibri"/>
        <family val="2"/>
        <charset val="1"/>
      </rPr>
      <t xml:space="preserve">Mmax </t>
    </r>
    <r>
      <rPr>
        <sz val="11"/>
        <color theme="1"/>
        <rFont val="Noto Sans CJK SC"/>
        <family val="2"/>
      </rPr>
      <t xml:space="preserve">유료 사용자 수</t>
    </r>
  </si>
  <si>
    <t xml:space="preserve">스토어 수수료율 – 기본</t>
  </si>
  <si>
    <r>
      <rPr>
        <sz val="11"/>
        <color theme="1"/>
        <rFont val="Calibri"/>
        <family val="2"/>
        <charset val="1"/>
      </rPr>
      <t xml:space="preserve">Apple Small Business Program / Google Play </t>
    </r>
    <r>
      <rPr>
        <sz val="11"/>
        <color theme="1"/>
        <rFont val="Noto Sans CJK SC"/>
        <family val="2"/>
      </rPr>
      <t xml:space="preserve">한국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가정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공급가액 기준으로 계산</t>
    </r>
    <r>
      <rPr>
        <sz val="11"/>
        <color theme="1"/>
        <rFont val="Calibri"/>
        <family val="2"/>
        <charset val="1"/>
      </rPr>
      <t xml:space="preserve">)</t>
    </r>
  </si>
  <si>
    <t xml:space="preserve">스토어 수수료율 – 시나리오</t>
  </si>
  <si>
    <t xml:space="preserve">일반 수수료율 시나리오</t>
  </si>
  <si>
    <t xml:space="preserve">무료→유료 전환율</t>
  </si>
  <si>
    <r>
      <rPr>
        <sz val="11"/>
        <color theme="1"/>
        <rFont val="Noto Sans CJK SC"/>
        <family val="2"/>
      </rPr>
      <t xml:space="preserve">기본 </t>
    </r>
    <r>
      <rPr>
        <sz val="11"/>
        <color theme="1"/>
        <rFont val="Calibri"/>
        <family val="2"/>
        <charset val="1"/>
      </rPr>
      <t xml:space="preserve">3% (</t>
    </r>
    <r>
      <rPr>
        <sz val="11"/>
        <color theme="1"/>
        <rFont val="Noto Sans CJK SC"/>
        <family val="2"/>
      </rPr>
      <t xml:space="preserve">범위 </t>
    </r>
    <r>
      <rPr>
        <sz val="11"/>
        <color theme="1"/>
        <rFont val="Calibri"/>
        <family val="2"/>
        <charset val="1"/>
      </rPr>
      <t xml:space="preserve">2~5%)</t>
    </r>
  </si>
  <si>
    <r>
      <rPr>
        <sz val="11"/>
        <color theme="1"/>
        <rFont val="Noto Sans CJK SC"/>
        <family val="2"/>
      </rPr>
      <t xml:space="preserve">무료 사용자 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역산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</si>
  <si>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산식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유료 합계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전환율 − 유료 합계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</si>
  <si>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월 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 </t>
    </r>
    <r>
      <rPr>
        <sz val="11"/>
        <color theme="1"/>
        <rFont val="Calibri"/>
        <family val="2"/>
        <charset val="1"/>
      </rPr>
      <t xml:space="preserve">ESTIMATE)</t>
    </r>
  </si>
  <si>
    <r>
      <rPr>
        <b val="true"/>
        <sz val="11"/>
        <color rgb="FFC00000"/>
        <rFont val="Cambria"/>
        <family val="0"/>
        <charset val="1"/>
      </rPr>
      <t xml:space="preserve">ESTIMATE: </t>
    </r>
    <r>
      <rPr>
        <b val="true"/>
        <sz val="11"/>
        <color rgb="FFC00000"/>
        <rFont val="Noto Sans CJK SC"/>
        <family val="2"/>
      </rPr>
      <t xml:space="preserve">이 규모 기준 총 </t>
    </r>
    <r>
      <rPr>
        <b val="true"/>
        <sz val="11"/>
        <color rgb="FFC00000"/>
        <rFont val="Cambria"/>
        <family val="0"/>
        <charset val="1"/>
      </rPr>
      <t xml:space="preserve">300</t>
    </r>
    <r>
      <rPr>
        <b val="true"/>
        <sz val="11"/>
        <color rgb="FFC00000"/>
        <rFont val="Noto Sans CJK SC"/>
        <family val="2"/>
      </rPr>
      <t xml:space="preserve">만원 가정 – 실제 청구액으로 교체 필요</t>
    </r>
  </si>
  <si>
    <r>
      <rPr>
        <sz val="11"/>
        <color theme="1"/>
        <rFont val="Calibri"/>
        <family val="2"/>
        <charset val="1"/>
      </rPr>
      <t xml:space="preserve">SmartThings API </t>
    </r>
    <r>
      <rPr>
        <sz val="11"/>
        <color theme="1"/>
        <rFont val="Noto Sans CJK SC"/>
        <family val="2"/>
      </rPr>
      <t xml:space="preserve">월 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미확정 </t>
    </r>
    <r>
      <rPr>
        <sz val="11"/>
        <color theme="1"/>
        <rFont val="Calibri"/>
        <family val="2"/>
        <charset val="1"/>
      </rPr>
      <t xml:space="preserve">UNKNOWN)</t>
    </r>
  </si>
  <si>
    <r>
      <rPr>
        <b val="true"/>
        <sz val="11"/>
        <color rgb="FFC00000"/>
        <rFont val="Cambria"/>
        <family val="0"/>
        <charset val="1"/>
      </rPr>
      <t xml:space="preserve">Samsung commercial pricing not yet confirmed (</t>
    </r>
    <r>
      <rPr>
        <b val="true"/>
        <sz val="11"/>
        <color rgb="FFC00000"/>
        <rFont val="Noto Sans CJK SC"/>
        <family val="2"/>
      </rPr>
      <t xml:space="preserve">삼성 상업용 요금 미확정 – 기본 </t>
    </r>
    <r>
      <rPr>
        <b val="true"/>
        <sz val="11"/>
        <color rgb="FFC00000"/>
        <rFont val="Cambria"/>
        <family val="0"/>
        <charset val="1"/>
      </rPr>
      <t xml:space="preserve">0 placeholder)</t>
    </r>
  </si>
  <si>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기타 비용</t>
    </r>
  </si>
  <si>
    <r>
      <rPr>
        <sz val="11"/>
        <color theme="1"/>
        <rFont val="Calibri"/>
        <family val="2"/>
        <charset val="1"/>
      </rPr>
      <t xml:space="preserve">PG·</t>
    </r>
    <r>
      <rPr>
        <sz val="11"/>
        <color theme="1"/>
        <rFont val="Noto Sans CJK SC"/>
        <family val="2"/>
      </rPr>
      <t xml:space="preserve">정산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기타 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기본 </t>
    </r>
    <r>
      <rPr>
        <sz val="11"/>
        <color theme="1"/>
        <rFont val="Calibri"/>
        <family val="2"/>
        <charset val="1"/>
      </rPr>
      <t xml:space="preserve">0, </t>
    </r>
    <r>
      <rPr>
        <sz val="11"/>
        <color theme="1"/>
        <rFont val="Noto Sans CJK SC"/>
        <family val="2"/>
      </rPr>
      <t xml:space="preserve">필요 시 입력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</si>
  <si>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목표 순이익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</si>
  <si>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법인세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소득세 차감 전 영업이익 기준</t>
    </r>
  </si>
  <si>
    <r>
      <rPr>
        <sz val="11"/>
        <color theme="1"/>
        <rFont val="Noto Sans CJK SC"/>
        <family val="2"/>
      </rPr>
      <t xml:space="preserve">전환율 참고 범위</t>
    </r>
    <r>
      <rPr>
        <sz val="11"/>
        <color theme="1"/>
        <rFont val="Calibri"/>
        <family val="2"/>
        <charset val="1"/>
      </rPr>
      <t xml:space="preserve">: 2% ~ 5% (B13 </t>
    </r>
    <r>
      <rPr>
        <sz val="11"/>
        <color theme="1"/>
        <rFont val="Noto Sans CJK SC"/>
        <family val="2"/>
      </rPr>
      <t xml:space="preserve">수정 시 무료 사용자 수 자동 재계산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</si>
  <si>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전환율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일 때 무료 사용자</t>
    </r>
  </si>
  <si>
    <r>
      <rPr>
        <sz val="11"/>
        <color theme="1"/>
        <rFont val="Noto Sans CJK SC"/>
        <family val="2"/>
      </rPr>
      <t xml:space="preserve">전환율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일 때 무료 사용자</t>
    </r>
  </si>
  <si>
    <r>
      <rPr>
        <b val="true"/>
        <sz val="14"/>
        <rFont val="Noto Sans CJK SC"/>
        <family val="2"/>
      </rPr>
      <t xml:space="preserve">월 손익 계산 </t>
    </r>
    <r>
      <rPr>
        <b val="true"/>
        <sz val="14"/>
        <rFont val="Cambria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법인세</t>
    </r>
    <r>
      <rPr>
        <b val="true"/>
        <sz val="14"/>
        <rFont val="Cambria"/>
        <family val="0"/>
        <charset val="1"/>
      </rPr>
      <t xml:space="preserve">/</t>
    </r>
    <r>
      <rPr>
        <b val="true"/>
        <sz val="14"/>
        <rFont val="Noto Sans CJK SC"/>
        <family val="2"/>
      </rPr>
      <t xml:space="preserve">소득세 차감 전</t>
    </r>
    <r>
      <rPr>
        <b val="true"/>
        <sz val="14"/>
        <rFont val="Cambria"/>
        <family val="0"/>
        <charset val="1"/>
      </rPr>
      <t xml:space="preserve">)</t>
    </r>
  </si>
  <si>
    <t xml:space="preserve">기본 수수료</t>
  </si>
  <si>
    <t xml:space="preserve">시나리오 수수료</t>
  </si>
  <si>
    <t xml:space="preserve">설명</t>
  </si>
  <si>
    <t xml:space="preserve">적용 스토어 수수료율</t>
  </si>
  <si>
    <r>
      <rPr>
        <sz val="11"/>
        <color theme="1"/>
        <rFont val="Noto Sans CJK SC"/>
        <family val="2"/>
      </rPr>
      <t xml:space="preserve">총매출 </t>
    </r>
    <r>
      <rPr>
        <sz val="11"/>
        <color theme="1"/>
        <rFont val="Calibri"/>
        <family val="2"/>
        <charset val="1"/>
      </rPr>
      <t xml:space="preserve">(VAT </t>
    </r>
    <r>
      <rPr>
        <sz val="11"/>
        <color theme="1"/>
        <rFont val="Noto Sans CJK SC"/>
        <family val="2"/>
      </rPr>
      <t xml:space="preserve">포함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</si>
  <si>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유료 사용자 수</t>
    </r>
  </si>
  <si>
    <r>
      <rPr>
        <sz val="11"/>
        <color theme="1"/>
        <rFont val="Calibri"/>
        <family val="2"/>
        <charset val="1"/>
      </rPr>
      <t xml:space="preserve">(-) </t>
    </r>
    <r>
      <rPr>
        <sz val="11"/>
        <color theme="1"/>
        <rFont val="Noto Sans CJK SC"/>
        <family val="2"/>
      </rPr>
      <t xml:space="preserve">부가세</t>
    </r>
  </si>
  <si>
    <r>
      <rPr>
        <sz val="11"/>
        <color theme="1"/>
        <rFont val="Noto Sans CJK SC"/>
        <family val="2"/>
      </rPr>
      <t xml:space="preserve">총매출 − 총매출</t>
    </r>
    <r>
      <rPr>
        <sz val="11"/>
        <color theme="1"/>
        <rFont val="Calibri"/>
        <family val="2"/>
        <charset val="1"/>
      </rPr>
      <t xml:space="preserve">/(1+VAT)</t>
    </r>
  </si>
  <si>
    <r>
      <rPr>
        <sz val="11"/>
        <color theme="1"/>
        <rFont val="Noto Sans CJK SC"/>
        <family val="2"/>
      </rPr>
      <t xml:space="preserve">공급가액 </t>
    </r>
    <r>
      <rPr>
        <sz val="11"/>
        <color theme="1"/>
        <rFont val="Calibri"/>
        <family val="2"/>
        <charset val="1"/>
      </rPr>
      <t xml:space="preserve">(VAT </t>
    </r>
    <r>
      <rPr>
        <sz val="11"/>
        <color theme="1"/>
        <rFont val="Noto Sans CJK SC"/>
        <family val="2"/>
      </rPr>
      <t xml:space="preserve">제외 매출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</si>
  <si>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(-) </t>
    </r>
    <r>
      <rPr>
        <sz val="11"/>
        <color theme="1"/>
        <rFont val="Noto Sans CJK SC"/>
        <family val="2"/>
      </rPr>
      <t xml:space="preserve">스토어 수수료</t>
    </r>
  </si>
  <si>
    <r>
      <rPr>
        <sz val="11"/>
        <color theme="1"/>
        <rFont val="Noto Sans CJK SC"/>
        <family val="2"/>
      </rPr>
      <t xml:space="preserve">공급가액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수수료율</t>
    </r>
  </si>
  <si>
    <r>
      <rPr>
        <b val="true"/>
        <sz val="11"/>
        <rFont val="Noto Sans CJK SC"/>
        <family val="2"/>
      </rPr>
      <t xml:space="preserve">순매출 </t>
    </r>
    <r>
      <rPr>
        <b val="true"/>
        <sz val="11"/>
        <rFont val="Cambria"/>
        <family val="0"/>
        <charset val="1"/>
      </rPr>
      <t xml:space="preserve">(Net Revenue)</t>
    </r>
  </si>
  <si>
    <r>
      <rPr>
        <sz val="11"/>
        <color theme="1"/>
        <rFont val="Calibri"/>
        <family val="2"/>
        <charset val="1"/>
      </rPr>
      <t xml:space="preserve">(-) AWS </t>
    </r>
    <r>
      <rPr>
        <sz val="11"/>
        <color theme="1"/>
        <rFont val="Noto Sans CJK SC"/>
        <family val="2"/>
      </rPr>
      <t xml:space="preserve">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</si>
  <si>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ESTIMATE</t>
  </si>
  <si>
    <r>
      <rPr>
        <sz val="11"/>
        <color theme="1"/>
        <rFont val="Calibri"/>
        <family val="2"/>
        <charset val="1"/>
      </rPr>
      <t xml:space="preserve">(-) SmartThings API </t>
    </r>
    <r>
      <rPr>
        <sz val="11"/>
        <color theme="1"/>
        <rFont val="Noto Sans CJK SC"/>
        <family val="2"/>
      </rPr>
      <t xml:space="preserve">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미확정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</si>
  <si>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UNKNOWN – </t>
    </r>
    <r>
      <rPr>
        <sz val="11"/>
        <color theme="1"/>
        <rFont val="Noto Sans CJK SC"/>
        <family val="2"/>
      </rPr>
      <t xml:space="preserve">삼성 상업용 요금 미확정</t>
    </r>
  </si>
  <si>
    <r>
      <rPr>
        <sz val="11"/>
        <color theme="1"/>
        <rFont val="Calibri"/>
        <family val="2"/>
        <charset val="1"/>
      </rPr>
      <t xml:space="preserve">(-) </t>
    </r>
    <r>
      <rPr>
        <sz val="11"/>
        <color theme="1"/>
        <rFont val="Noto Sans CJK SC"/>
        <family val="2"/>
      </rPr>
      <t xml:space="preserve">결제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기타 비용</t>
    </r>
  </si>
  <si>
    <r>
      <rPr>
        <b val="true"/>
        <sz val="11"/>
        <rFont val="Noto Sans CJK SC"/>
        <family val="2"/>
      </rPr>
      <t xml:space="preserve">영업이익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법인세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소득세 차감 전</t>
    </r>
    <r>
      <rPr>
        <b val="true"/>
        <sz val="11"/>
        <rFont val="Cambria"/>
        <family val="0"/>
        <charset val="1"/>
      </rPr>
      <t xml:space="preserve">)</t>
    </r>
  </si>
  <si>
    <t xml:space="preserve">목표 순이익</t>
  </si>
  <si>
    <t xml:space="preserve">목표 대비 차이</t>
  </si>
  <si>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초과 </t>
    </r>
    <r>
      <rPr>
        <sz val="11"/>
        <color theme="1"/>
        <rFont val="Calibri"/>
        <family val="2"/>
        <charset val="1"/>
      </rPr>
      <t xml:space="preserve">/ − </t>
    </r>
    <r>
      <rPr>
        <sz val="11"/>
        <color theme="1"/>
        <rFont val="Noto Sans CJK SC"/>
        <family val="2"/>
      </rPr>
      <t xml:space="preserve">부족</t>
    </r>
  </si>
  <si>
    <t xml:space="preserve">목표 달성 여부</t>
  </si>
  <si>
    <r>
      <rPr>
        <b val="true"/>
        <sz val="11"/>
        <rFont val="Noto Sans CJK SC"/>
        <family val="2"/>
      </rPr>
      <t xml:space="preserve">손익분기 </t>
    </r>
    <r>
      <rPr>
        <b val="true"/>
        <sz val="11"/>
        <rFont val="Cambria"/>
        <family val="0"/>
        <charset val="1"/>
      </rPr>
      <t xml:space="preserve">API </t>
    </r>
    <r>
      <rPr>
        <b val="true"/>
        <sz val="11"/>
        <rFont val="Noto Sans CJK SC"/>
        <family val="2"/>
      </rPr>
      <t xml:space="preserve">예산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목표 달성 가능한 최대 </t>
    </r>
    <r>
      <rPr>
        <b val="true"/>
        <sz val="11"/>
        <rFont val="Cambria"/>
        <family val="0"/>
        <charset val="1"/>
      </rPr>
      <t xml:space="preserve">SmartThings API </t>
    </r>
    <r>
      <rPr>
        <b val="true"/>
        <sz val="11"/>
        <rFont val="Noto Sans CJK SC"/>
        <family val="2"/>
      </rPr>
      <t xml:space="preserve">월 비용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</si>
  <si>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최대 허용 </t>
    </r>
    <r>
      <rPr>
        <b val="true"/>
        <sz val="11"/>
        <rFont val="Cambria"/>
        <family val="0"/>
        <charset val="1"/>
      </rPr>
      <t xml:space="preserve">API </t>
    </r>
    <r>
      <rPr>
        <b val="true"/>
        <sz val="11"/>
        <rFont val="Noto Sans CJK SC"/>
        <family val="2"/>
      </rPr>
      <t xml:space="preserve">비용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원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월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</si>
  <si>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순매출 − </t>
    </r>
    <r>
      <rPr>
        <sz val="11"/>
        <color theme="1"/>
        <rFont val="Calibri"/>
        <family val="2"/>
        <charset val="1"/>
      </rPr>
      <t xml:space="preserve">AWS − </t>
    </r>
    <r>
      <rPr>
        <sz val="11"/>
        <color theme="1"/>
        <rFont val="Noto Sans CJK SC"/>
        <family val="2"/>
      </rPr>
      <t xml:space="preserve">기타 − 목표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음수면 </t>
    </r>
    <r>
      <rPr>
        <sz val="11"/>
        <color theme="1"/>
        <rFont val="Calibri"/>
        <family val="2"/>
        <charset val="1"/>
      </rPr>
      <t xml:space="preserve">API 0</t>
    </r>
    <r>
      <rPr>
        <sz val="11"/>
        <color theme="1"/>
        <rFont val="Noto Sans CJK SC"/>
        <family val="2"/>
      </rPr>
      <t xml:space="preserve">원에서도 목표 미달</t>
    </r>
    <r>
      <rPr>
        <sz val="11"/>
        <color theme="1"/>
        <rFont val="Calibri"/>
        <family val="2"/>
        <charset val="1"/>
      </rPr>
      <t xml:space="preserve">)</t>
    </r>
  </si>
  <si>
    <t xml:space="preserve">판정</t>
  </si>
  <si>
    <r>
      <rPr>
        <sz val="11"/>
        <color theme="1"/>
        <rFont val="Noto Sans CJK SC"/>
        <family val="2"/>
      </rPr>
      <t xml:space="preserve">현재 입력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비용 대비 여유</t>
    </r>
  </si>
  <si>
    <r>
      <rPr>
        <b val="true"/>
        <sz val="14"/>
        <rFont val="Noto Sans CJK SC"/>
        <family val="2"/>
      </rPr>
      <t xml:space="preserve">민감도 분석 – 월 영업이익 </t>
    </r>
    <r>
      <rPr>
        <b val="true"/>
        <sz val="14"/>
        <rFont val="Cambria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원</t>
    </r>
    <r>
      <rPr>
        <b val="true"/>
        <sz val="14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</si>
  <si>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파란색 축 값은 수정 가능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모든 셀은 입력 시트를 참조하는 수식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초록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목표 달성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빨강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미달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</si>
  <si>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표 </t>
    </r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스토어 수수료 </t>
    </r>
    <r>
      <rPr>
        <b val="true"/>
        <sz val="11"/>
        <rFont val="Cambria"/>
        <family val="0"/>
        <charset val="1"/>
      </rPr>
      <t xml:space="preserve">× API </t>
    </r>
    <r>
      <rPr>
        <b val="true"/>
        <sz val="11"/>
        <rFont val="Noto Sans CJK SC"/>
        <family val="2"/>
      </rPr>
      <t xml:space="preserve">월 비용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사용자 수는 입력 시트 기준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</si>
  <si>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수수료율 </t>
    </r>
    <r>
      <rPr>
        <b val="true"/>
        <sz val="11"/>
        <color rgb="FFFFFFFF"/>
        <rFont val="Cambria"/>
        <family val="0"/>
        <charset val="1"/>
      </rPr>
      <t xml:space="preserve">\ API </t>
    </r>
    <r>
      <rPr>
        <b val="true"/>
        <sz val="11"/>
        <color rgb="FFFFFFFF"/>
        <rFont val="Noto Sans CJK SC"/>
        <family val="2"/>
      </rPr>
      <t xml:space="preserve">비용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</si>
  <si>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표 </t>
    </r>
    <r>
      <rPr>
        <b val="true"/>
        <sz val="11"/>
        <rFont val="Cambria"/>
        <family val="0"/>
        <charset val="1"/>
      </rPr>
      <t xml:space="preserve">1 – </t>
    </r>
    <r>
      <rPr>
        <b val="true"/>
        <sz val="11"/>
        <rFont val="Noto Sans CJK SC"/>
        <family val="2"/>
      </rPr>
      <t xml:space="preserve">목표 달성 여부</t>
    </r>
  </si>
  <si>
    <r>
      <rPr>
        <b val="true"/>
        <sz val="11"/>
        <rFont val="Noto Sans CJK SC"/>
        <family val="2"/>
      </rPr>
      <t xml:space="preserve">표 </t>
    </r>
    <r>
      <rPr>
        <b val="true"/>
        <sz val="11"/>
        <rFont val="Cambria"/>
        <family val="0"/>
        <charset val="1"/>
      </rPr>
      <t xml:space="preserve">2. Pro × Max </t>
    </r>
    <r>
      <rPr>
        <b val="true"/>
        <sz val="11"/>
        <rFont val="Noto Sans CJK SC"/>
        <family val="2"/>
      </rPr>
      <t xml:space="preserve">사용자 수 – 기본 수수료율 </t>
    </r>
    <r>
      <rPr>
        <b val="true"/>
        <sz val="11"/>
        <rFont val="Cambria"/>
        <family val="0"/>
        <charset val="1"/>
      </rPr>
      <t xml:space="preserve">(API </t>
    </r>
    <r>
      <rPr>
        <b val="true"/>
        <sz val="11"/>
        <rFont val="Noto Sans CJK SC"/>
        <family val="2"/>
      </rPr>
      <t xml:space="preserve">비용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입력값</t>
    </r>
    <r>
      <rPr>
        <b val="true"/>
        <sz val="11"/>
        <rFont val="Cambria"/>
        <family val="0"/>
        <charset val="1"/>
      </rPr>
      <t xml:space="preserve">, Mmax </t>
    </r>
    <r>
      <rPr>
        <b val="true"/>
        <sz val="11"/>
        <rFont val="Noto Sans CJK SC"/>
        <family val="2"/>
      </rPr>
      <t xml:space="preserve">사용자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입력값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</si>
  <si>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Pro </t>
    </r>
    <r>
      <rPr>
        <b val="true"/>
        <sz val="11"/>
        <color rgb="FFFFFFFF"/>
        <rFont val="Noto Sans CJK SC"/>
        <family val="2"/>
      </rPr>
      <t xml:space="preserve">사용자 </t>
    </r>
    <r>
      <rPr>
        <b val="true"/>
        <sz val="11"/>
        <color rgb="FFFFFFFF"/>
        <rFont val="Cambria"/>
        <family val="0"/>
        <charset val="1"/>
      </rPr>
      <t xml:space="preserve">\ Max </t>
    </r>
    <r>
      <rPr>
        <b val="true"/>
        <sz val="11"/>
        <color rgb="FFFFFFFF"/>
        <rFont val="Noto Sans CJK SC"/>
        <family val="2"/>
      </rPr>
      <t xml:space="preserve">사용자</t>
    </r>
  </si>
  <si>
    <r>
      <rPr>
        <b val="true"/>
        <sz val="11"/>
        <rFont val="Noto Sans CJK SC"/>
        <family val="2"/>
      </rPr>
      <t xml:space="preserve">표 </t>
    </r>
    <r>
      <rPr>
        <b val="true"/>
        <sz val="11"/>
        <rFont val="Cambria"/>
        <family val="0"/>
        <charset val="1"/>
      </rPr>
      <t xml:space="preserve">3. Pro × Max </t>
    </r>
    <r>
      <rPr>
        <b val="true"/>
        <sz val="11"/>
        <rFont val="Noto Sans CJK SC"/>
        <family val="2"/>
      </rPr>
      <t xml:space="preserve">사용자 수 – 시나리오 수수료율 </t>
    </r>
    <r>
      <rPr>
        <b val="true"/>
        <sz val="11"/>
        <rFont val="Cambria"/>
        <family val="0"/>
        <charset val="1"/>
      </rPr>
      <t xml:space="preserve">(API </t>
    </r>
    <r>
      <rPr>
        <b val="true"/>
        <sz val="11"/>
        <rFont val="Noto Sans CJK SC"/>
        <family val="2"/>
      </rPr>
      <t xml:space="preserve">비용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입력값</t>
    </r>
    <r>
      <rPr>
        <b val="true"/>
        <sz val="11"/>
        <rFont val="Cambria"/>
        <family val="0"/>
        <charset val="1"/>
      </rPr>
      <t xml:space="preserve">, Mmax </t>
    </r>
    <r>
      <rPr>
        <b val="true"/>
        <sz val="11"/>
        <rFont val="Noto Sans CJK SC"/>
        <family val="2"/>
      </rPr>
      <t xml:space="preserve">사용자 </t>
    </r>
    <r>
      <rPr>
        <b val="true"/>
        <sz val="11"/>
        <rFont val="Cambria"/>
        <family val="0"/>
        <charset val="1"/>
      </rPr>
      <t xml:space="preserve">= </t>
    </r>
    <r>
      <rPr>
        <b val="true"/>
        <sz val="11"/>
        <rFont val="Noto Sans CJK SC"/>
        <family val="2"/>
      </rPr>
      <t xml:space="preserve">입력값</t>
    </r>
    <r>
      <rPr>
        <b val="true"/>
        <sz val="11"/>
        <rFont val="Cambria"/>
        <family val="0"/>
        <charset val="1"/>
      </rPr>
      <t xml:space="preserve">)</t>
    </r>
  </si>
  <si>
    <r>
      <rPr>
        <b val="true"/>
        <sz val="14"/>
        <color rgb="FFC00000"/>
        <rFont val="Noto Sans CJK SC"/>
        <family val="2"/>
      </rPr>
      <t xml:space="preserve">요금 등급표 </t>
    </r>
    <r>
      <rPr>
        <b val="true"/>
        <sz val="14"/>
        <color rgb="FFC00000"/>
        <rFont val="Cambria"/>
        <family val="0"/>
        <charset val="1"/>
      </rPr>
      <t xml:space="preserve">(</t>
    </r>
    <r>
      <rPr>
        <b val="true"/>
        <sz val="14"/>
        <color rgb="FFC00000"/>
        <rFont val="Noto Sans CJK SC"/>
        <family val="2"/>
      </rPr>
      <t xml:space="preserve">초안 </t>
    </r>
    <r>
      <rPr>
        <b val="true"/>
        <sz val="14"/>
        <color rgb="FFC00000"/>
        <rFont val="Cambria"/>
        <family val="0"/>
        <charset val="1"/>
      </rPr>
      <t xml:space="preserve">DRAFT – </t>
    </r>
    <r>
      <rPr>
        <b val="true"/>
        <sz val="14"/>
        <color rgb="FFC00000"/>
        <rFont val="Noto Sans CJK SC"/>
        <family val="2"/>
      </rPr>
      <t xml:space="preserve">확정 아님</t>
    </r>
    <r>
      <rPr>
        <b val="true"/>
        <sz val="14"/>
        <color rgb="FFC00000"/>
        <rFont val="Cambria"/>
        <family val="0"/>
        <charset val="1"/>
      </rPr>
      <t xml:space="preserve">)</t>
    </r>
  </si>
  <si>
    <t xml:space="preserve">등급</t>
  </si>
  <si>
    <r>
      <rPr>
        <b val="true"/>
        <sz val="11"/>
        <color rgb="FFFFFFFF"/>
        <rFont val="Noto Sans CJK SC"/>
        <family val="2"/>
      </rPr>
      <t xml:space="preserve">월 가격 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mbria"/>
        <family val="0"/>
        <charset val="1"/>
      </rPr>
      <t xml:space="preserve">, VAT </t>
    </r>
    <r>
      <rPr>
        <b val="true"/>
        <sz val="11"/>
        <color rgb="FFFFFFFF"/>
        <rFont val="Noto Sans CJK SC"/>
        <family val="2"/>
      </rPr>
      <t xml:space="preserve">포함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</si>
  <si>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기기 수</t>
  </si>
  <si>
    <t xml:space="preserve">주요 기능</t>
  </si>
  <si>
    <t xml:space="preserve">상태</t>
  </si>
  <si>
    <t xml:space="preserve">Free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</si>
  <si>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대</t>
    </r>
  </si>
  <si>
    <r>
      <rPr>
        <sz val="11"/>
        <color theme="1"/>
        <rFont val="Noto Sans CJK SC"/>
        <family val="2"/>
      </rPr>
      <t xml:space="preserve">서버리스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별도 서버 비용 최소화</t>
    </r>
    <r>
      <rPr>
        <sz val="11"/>
        <color theme="1"/>
        <rFont val="Calibri"/>
        <family val="2"/>
        <charset val="1"/>
      </rPr>
      <t xml:space="preserve">)</t>
    </r>
  </si>
  <si>
    <t xml:space="preserve">초안</t>
  </si>
  <si>
    <t xml:space="preserve">Pro</t>
  </si>
  <si>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대</t>
    </r>
  </si>
  <si>
    <r>
      <rPr>
        <sz val="11"/>
        <color theme="1"/>
        <rFont val="Noto Sans CJK SC"/>
        <family val="2"/>
      </rPr>
      <t xml:space="preserve">푸시 알림</t>
    </r>
    <r>
      <rPr>
        <sz val="11"/>
        <color theme="1"/>
        <rFont val="Calibri"/>
        <family val="2"/>
        <charset val="1"/>
      </rPr>
      <t xml:space="preserve">, SmartThings </t>
    </r>
    <r>
      <rPr>
        <sz val="11"/>
        <color theme="1"/>
        <rFont val="Noto Sans CJK SC"/>
        <family val="2"/>
      </rPr>
      <t xml:space="preserve">토큰 자동 갱신</t>
    </r>
  </si>
  <si>
    <t xml:space="preserve">Max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</si>
  <si>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대</t>
    </r>
  </si>
  <si>
    <r>
      <rPr>
        <sz val="11"/>
        <color theme="1"/>
        <rFont val="Noto Sans CJK SC"/>
        <family val="2"/>
      </rPr>
      <t xml:space="preserve">원격 접속</t>
    </r>
    <r>
      <rPr>
        <sz val="11"/>
        <color theme="1"/>
        <rFont val="Calibri"/>
        <family val="2"/>
        <charset val="1"/>
      </rPr>
      <t xml:space="preserve">, Roborock </t>
    </r>
    <r>
      <rPr>
        <sz val="11"/>
        <color theme="1"/>
        <rFont val="Noto Sans CJK SC"/>
        <family val="2"/>
      </rPr>
      <t xml:space="preserve">지도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청소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가족 공유</t>
    </r>
  </si>
  <si>
    <t xml:space="preserve">Mmax</t>
  </si>
  <si>
    <t xml:space="preserve">무제한</t>
  </si>
  <si>
    <r>
      <rPr>
        <sz val="11"/>
        <color theme="1"/>
        <rFont val="Noto Sans CJK SC"/>
        <family val="2"/>
      </rPr>
      <t xml:space="preserve">다중 주택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자동화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우선 지원</t>
    </r>
  </si>
  <si>
    <r>
      <rPr>
        <sz val="11"/>
        <color theme="1"/>
        <rFont val="Noto Sans CJK SC"/>
        <family val="2"/>
      </rPr>
      <t xml:space="preserve">※ 가격은 입력 시트와 연동됨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기능 구성은 초안이며 변경될 수 있음</t>
    </r>
    <r>
      <rPr>
        <sz val="11"/>
        <color theme="1"/>
        <rFont val="Calibri"/>
        <family val="2"/>
        <charset val="1"/>
      </rPr>
      <t xml:space="preserve">.</t>
    </r>
  </si>
  <si>
    <t xml:space="preserve">가정 및 주의사항</t>
  </si>
  <si>
    <r>
      <rPr>
        <sz val="11"/>
        <color theme="1"/>
        <rFont val="Calibri"/>
        <family val="2"/>
        <charset val="1"/>
      </rPr>
      <t xml:space="preserve">1. AWS </t>
    </r>
    <r>
      <rPr>
        <sz val="11"/>
        <color theme="1"/>
        <rFont val="Noto Sans CJK SC"/>
        <family val="2"/>
      </rPr>
      <t xml:space="preserve">비용은 추정치</t>
    </r>
    <r>
      <rPr>
        <sz val="11"/>
        <color theme="1"/>
        <rFont val="Calibri"/>
        <family val="2"/>
        <charset val="1"/>
      </rPr>
      <t xml:space="preserve">(ESTIMATE)</t>
    </r>
    <r>
      <rPr>
        <sz val="11"/>
        <color theme="1"/>
        <rFont val="Noto Sans CJK SC"/>
        <family val="2"/>
      </rPr>
      <t xml:space="preserve">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기본 월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만원은 이 규모 기준 가정이며 실제 아키텍처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트래픽에 따라 크게 달라집니다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</si>
  <si>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2. SmartThings API </t>
    </r>
    <r>
      <rPr>
        <sz val="11"/>
        <color theme="1"/>
        <rFont val="Noto Sans CJK SC"/>
        <family val="2"/>
      </rPr>
      <t xml:space="preserve">비용은 미확정</t>
    </r>
    <r>
      <rPr>
        <sz val="11"/>
        <color theme="1"/>
        <rFont val="Calibri"/>
        <family val="2"/>
        <charset val="1"/>
      </rPr>
      <t xml:space="preserve">(UNKNOWN)</t>
    </r>
    <r>
      <rPr>
        <sz val="11"/>
        <color theme="1"/>
        <rFont val="Noto Sans CJK SC"/>
        <family val="2"/>
      </rPr>
      <t xml:space="preserve">입니다</t>
    </r>
    <r>
      <rPr>
        <sz val="11"/>
        <color theme="1"/>
        <rFont val="Calibri"/>
        <family val="2"/>
        <charset val="1"/>
      </rPr>
      <t xml:space="preserve">. 'Samsung commercial pricing not yet confirmed' – </t>
    </r>
    <r>
      <rPr>
        <sz val="11"/>
        <color theme="1"/>
        <rFont val="Noto Sans CJK SC"/>
        <family val="2"/>
      </rPr>
      <t xml:space="preserve">기본값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 xml:space="preserve">placeholder</t>
    </r>
    <r>
      <rPr>
        <sz val="11"/>
        <color theme="1"/>
        <rFont val="Noto Sans CJK SC"/>
        <family val="2"/>
      </rPr>
      <t xml:space="preserve">이며 실제 요금 확인 후 반드시 수정하세요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</si>
  <si>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법인세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소득세 등 세금은 제외했습니다</t>
    </r>
    <r>
      <rPr>
        <sz val="11"/>
        <color theme="1"/>
        <rFont val="Calibri"/>
        <family val="2"/>
        <charset val="1"/>
      </rPr>
      <t xml:space="preserve">. '</t>
    </r>
    <r>
      <rPr>
        <sz val="11"/>
        <color theme="1"/>
        <rFont val="Noto Sans CJK SC"/>
        <family val="2"/>
      </rPr>
      <t xml:space="preserve">영업이익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은 세전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소득세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법인세 차감 전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기준입니다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부가세는 매출에서 차감했지만 매입세액 공제 등은 반영하지 않았습니다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</si>
  <si>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4. Apple 15% </t>
    </r>
    <r>
      <rPr>
        <sz val="11"/>
        <color theme="1"/>
        <rFont val="Noto Sans CJK SC"/>
        <family val="2"/>
      </rPr>
      <t xml:space="preserve">수수료는 </t>
    </r>
    <r>
      <rPr>
        <sz val="11"/>
        <color theme="1"/>
        <rFont val="Calibri"/>
        <family val="2"/>
        <charset val="1"/>
      </rPr>
      <t xml:space="preserve">App Store Small Business Program </t>
    </r>
    <r>
      <rPr>
        <sz val="11"/>
        <color theme="1"/>
        <rFont val="Noto Sans CJK SC"/>
        <family val="2"/>
      </rPr>
      <t xml:space="preserve">가입이 필요합니다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미가입 시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구독은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년 유지 후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로 낮아지는 구조입니다</t>
    </r>
    <r>
      <rPr>
        <sz val="11"/>
        <color theme="1"/>
        <rFont val="Calibri"/>
        <family val="2"/>
        <charset val="1"/>
      </rPr>
      <t xml:space="preserve">(30%/15% after year 1). </t>
    </r>
    <r>
      <rPr>
        <sz val="11"/>
        <color theme="1"/>
        <rFont val="Noto Sans CJK SC"/>
        <family val="2"/>
      </rPr>
      <t xml:space="preserve">시나리오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열로 확인하세요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</si>
  <si>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5. Google Play </t>
    </r>
    <r>
      <rPr>
        <sz val="11"/>
        <color theme="1"/>
        <rFont val="Noto Sans CJK SC"/>
        <family val="2"/>
      </rPr>
      <t xml:space="preserve">한국의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수수료는 </t>
    </r>
    <r>
      <rPr>
        <sz val="11"/>
        <color theme="1"/>
        <rFont val="Calibri"/>
        <family val="2"/>
        <charset val="1"/>
      </rPr>
      <t xml:space="preserve">2026-12-31</t>
    </r>
    <r>
      <rPr>
        <sz val="11"/>
        <color theme="1"/>
        <rFont val="Noto Sans CJK SC"/>
        <family val="2"/>
      </rPr>
      <t xml:space="preserve">까지 적용되는 것으로 가정했습니다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이후 정책은 확인이 필요합니다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</si>
  <si>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6. Pro 1,000</t>
    </r>
    <r>
      <rPr>
        <sz val="11"/>
        <color theme="1"/>
        <rFont val="Noto Sans CJK SC"/>
        <family val="2"/>
      </rPr>
      <t xml:space="preserve">원 등급은 마진이 얇습니다</t>
    </r>
    <r>
      <rPr>
        <sz val="11"/>
        <color theme="1"/>
        <rFont val="Calibri"/>
        <family val="2"/>
        <charset val="1"/>
      </rPr>
      <t xml:space="preserve">. VAT(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9.1%)</t>
    </r>
    <r>
      <rPr>
        <sz val="11"/>
        <color theme="1"/>
        <rFont val="Noto Sans CJK SC"/>
        <family val="2"/>
      </rPr>
      <t xml:space="preserve">와 스토어 수수료</t>
    </r>
    <r>
      <rPr>
        <sz val="11"/>
        <color theme="1"/>
        <rFont val="Calibri"/>
        <family val="2"/>
        <charset val="1"/>
      </rPr>
      <t xml:space="preserve">(15~30%) </t>
    </r>
    <r>
      <rPr>
        <sz val="11"/>
        <color theme="1"/>
        <rFont val="Noto Sans CJK SC"/>
        <family val="2"/>
      </rPr>
      <t xml:space="preserve">차감 후 사용자당 순수익이 약 </t>
    </r>
    <r>
      <rPr>
        <sz val="11"/>
        <color theme="1"/>
        <rFont val="Calibri"/>
        <family val="2"/>
        <charset val="1"/>
      </rPr>
      <t xml:space="preserve">640~770</t>
    </r>
    <r>
      <rPr>
        <sz val="11"/>
        <color theme="1"/>
        <rFont val="Noto Sans CJK SC"/>
        <family val="2"/>
      </rPr>
      <t xml:space="preserve">원 수준이며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인프라</t>
    </r>
    <r>
      <rPr>
        <sz val="11"/>
        <color theme="1"/>
        <rFont val="Calibri"/>
        <family val="2"/>
        <charset val="1"/>
      </rPr>
      <t xml:space="preserve">·API </t>
    </r>
    <r>
      <rPr>
        <sz val="11"/>
        <color theme="1"/>
        <rFont val="Noto Sans CJK SC"/>
        <family val="2"/>
      </rPr>
      <t xml:space="preserve">비용 증가에 취약합니다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</si>
  <si>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스토어 수수료는 </t>
    </r>
    <r>
      <rPr>
        <sz val="11"/>
        <color theme="1"/>
        <rFont val="Calibri"/>
        <family val="2"/>
        <charset val="1"/>
      </rPr>
      <t xml:space="preserve">VAT </t>
    </r>
    <r>
      <rPr>
        <sz val="11"/>
        <color theme="1"/>
        <rFont val="Noto Sans CJK SC"/>
        <family val="2"/>
      </rPr>
      <t xml:space="preserve">제외 공급가액 기준으로 계산했습니다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스토어별 실제 정산 방식은 확인 필요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</si>
  <si>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Calibri"/>
        <family val="2"/>
        <charset val="1"/>
      </rPr>
      <t xml:space="preserve">8. </t>
    </r>
    <r>
      <rPr>
        <sz val="11"/>
        <color theme="1"/>
        <rFont val="Noto Sans CJK SC"/>
        <family val="2"/>
      </rPr>
      <t xml:space="preserve">무료 사용자 수는 전환율로부터 역산한 값이며 현재 비용</t>
    </r>
    <r>
      <rPr>
        <sz val="11"/>
        <color theme="1"/>
        <rFont val="Calibri"/>
        <family val="2"/>
        <charset val="1"/>
      </rPr>
      <t xml:space="preserve">(AWS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 자동 반영되지 않습니다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무료 사용자 증가에 따른 서버 비용은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추정치에 포함되어 있다고 가정했습니다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</si>
  <si>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9. </t>
    </r>
    <r>
      <rPr>
        <sz val="11"/>
        <color theme="1"/>
        <rFont val="Noto Sans CJK SC"/>
        <family val="2"/>
      </rPr>
      <t xml:space="preserve">등급표는 초안</t>
    </r>
    <r>
      <rPr>
        <sz val="11"/>
        <color theme="1"/>
        <rFont val="Calibri"/>
        <family val="2"/>
        <charset val="1"/>
      </rPr>
      <t xml:space="preserve">(DRAFT)</t>
    </r>
    <r>
      <rPr>
        <sz val="11"/>
        <color theme="1"/>
        <rFont val="Noto Sans CJK SC"/>
        <family val="2"/>
      </rPr>
      <t xml:space="preserve">이며 확정된 상품 구성이 아닙니다</t>
    </r>
    <r>
      <rPr>
        <sz val="11"/>
        <color theme="1"/>
        <rFont val="Calibri"/>
        <family val="2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</si>
</sst>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0000FF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4"/>
      <color rgb="FFC00000"/>
      <name val="Noto Sans CJK SC"/>
      <family val="2"/>
    </font>
    <font>
      <b val="true"/>
      <sz val="14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7.15" hidden="false" customHeight="false" outlineLevel="0" collapsed="false">
      <c r="A4" s="0" t="s">
        <v>6</v>
      </c>
      <c r="B4" s="4" t="n">
        <v>1000</v>
      </c>
      <c r="C4" s="2" t="s">
        <v>7</v>
      </c>
      <c r="D4" s="2" t="s">
        <v>8</v>
      </c>
    </row>
    <row r="5" customFormat="false" ht="17.15" hidden="false" customHeight="false" outlineLevel="0" collapsed="false">
      <c r="A5" s="0" t="s">
        <v>9</v>
      </c>
      <c r="B5" s="4" t="n">
        <v>10000</v>
      </c>
      <c r="C5" s="2" t="s">
        <v>7</v>
      </c>
      <c r="D5" s="0" t="s">
        <v>10</v>
      </c>
    </row>
    <row r="6" customFormat="false" ht="17.15" hidden="false" customHeight="false" outlineLevel="0" collapsed="false">
      <c r="A6" s="0" t="s">
        <v>11</v>
      </c>
      <c r="B6" s="4" t="n">
        <v>20000</v>
      </c>
      <c r="C6" s="2" t="s">
        <v>7</v>
      </c>
      <c r="D6" s="0" t="s">
        <v>10</v>
      </c>
    </row>
    <row r="7" customFormat="false" ht="17.15" hidden="false" customHeight="false" outlineLevel="0" collapsed="false">
      <c r="A7" s="2" t="s">
        <v>12</v>
      </c>
      <c r="B7" s="5" t="n">
        <v>0.1</v>
      </c>
      <c r="C7" s="0" t="s">
        <v>13</v>
      </c>
      <c r="D7" s="2" t="s">
        <v>14</v>
      </c>
    </row>
    <row r="8" customFormat="false" ht="17.15" hidden="false" customHeight="false" outlineLevel="0" collapsed="false">
      <c r="A8" s="0" t="s">
        <v>15</v>
      </c>
      <c r="B8" s="4" t="n">
        <v>10000</v>
      </c>
      <c r="C8" s="2" t="s">
        <v>16</v>
      </c>
    </row>
    <row r="9" customFormat="false" ht="17.15" hidden="false" customHeight="false" outlineLevel="0" collapsed="false">
      <c r="A9" s="0" t="s">
        <v>17</v>
      </c>
      <c r="B9" s="4" t="n">
        <v>1000</v>
      </c>
      <c r="C9" s="2" t="s">
        <v>16</v>
      </c>
    </row>
    <row r="10" customFormat="false" ht="17.15" hidden="false" customHeight="false" outlineLevel="0" collapsed="false">
      <c r="A10" s="0" t="s">
        <v>18</v>
      </c>
      <c r="B10" s="4" t="n">
        <v>0</v>
      </c>
      <c r="C10" s="2" t="s">
        <v>16</v>
      </c>
    </row>
    <row r="11" customFormat="false" ht="17.15" hidden="false" customHeight="false" outlineLevel="0" collapsed="false">
      <c r="A11" s="2" t="s">
        <v>19</v>
      </c>
      <c r="B11" s="5" t="n">
        <v>0.15</v>
      </c>
      <c r="C11" s="0" t="s">
        <v>13</v>
      </c>
      <c r="D11" s="0" t="s">
        <v>20</v>
      </c>
    </row>
    <row r="12" customFormat="false" ht="15" hidden="false" customHeight="false" outlineLevel="0" collapsed="false">
      <c r="A12" s="2" t="s">
        <v>21</v>
      </c>
      <c r="B12" s="5" t="n">
        <v>0.3</v>
      </c>
      <c r="C12" s="0" t="s">
        <v>13</v>
      </c>
      <c r="D12" s="2" t="s">
        <v>22</v>
      </c>
    </row>
    <row r="13" customFormat="false" ht="17.15" hidden="false" customHeight="false" outlineLevel="0" collapsed="false">
      <c r="A13" s="2" t="s">
        <v>23</v>
      </c>
      <c r="B13" s="5" t="n">
        <v>0.03</v>
      </c>
      <c r="C13" s="0" t="s">
        <v>13</v>
      </c>
      <c r="D13" s="2" t="s">
        <v>24</v>
      </c>
    </row>
    <row r="14" customFormat="false" ht="17.15" hidden="false" customHeight="false" outlineLevel="0" collapsed="false">
      <c r="A14" s="2" t="s">
        <v>25</v>
      </c>
      <c r="B14" s="6" t="n">
        <f aca="false">IFERROR(SUM(B8:B10)/B13-SUM(B8:B10),0)</f>
        <v>355666.666666667</v>
      </c>
      <c r="C14" s="2" t="s">
        <v>16</v>
      </c>
      <c r="D14" s="2" t="s">
        <v>26</v>
      </c>
    </row>
    <row r="15" customFormat="false" ht="17.15" hidden="false" customHeight="false" outlineLevel="0" collapsed="false">
      <c r="A15" s="7" t="s">
        <v>27</v>
      </c>
      <c r="B15" s="4" t="n">
        <v>3000000</v>
      </c>
      <c r="C15" s="2" t="s">
        <v>7</v>
      </c>
      <c r="D15" s="8" t="s">
        <v>28</v>
      </c>
    </row>
    <row r="16" customFormat="false" ht="17.15" hidden="false" customHeight="false" outlineLevel="0" collapsed="false">
      <c r="A16" s="7" t="s">
        <v>29</v>
      </c>
      <c r="B16" s="4" t="n">
        <v>0</v>
      </c>
      <c r="C16" s="2" t="s">
        <v>7</v>
      </c>
      <c r="D16" s="8" t="s">
        <v>30</v>
      </c>
    </row>
    <row r="17" customFormat="false" ht="17.15" hidden="false" customHeight="false" outlineLevel="0" collapsed="false">
      <c r="A17" s="2" t="s">
        <v>31</v>
      </c>
      <c r="B17" s="4" t="n">
        <v>0</v>
      </c>
      <c r="C17" s="2" t="s">
        <v>7</v>
      </c>
      <c r="D17" s="0" t="s">
        <v>32</v>
      </c>
    </row>
    <row r="18" customFormat="false" ht="17.15" hidden="false" customHeight="false" outlineLevel="0" collapsed="false">
      <c r="A18" s="2" t="s">
        <v>33</v>
      </c>
      <c r="B18" s="4" t="n">
        <v>10000000</v>
      </c>
      <c r="C18" s="2" t="s">
        <v>7</v>
      </c>
      <c r="D18" s="2" t="s">
        <v>34</v>
      </c>
    </row>
    <row r="20" customFormat="false" ht="17.15" hidden="false" customHeight="false" outlineLevel="0" collapsed="false">
      <c r="A20" s="2" t="s">
        <v>35</v>
      </c>
    </row>
    <row r="21" customFormat="false" ht="17.15" hidden="false" customHeight="false" outlineLevel="0" collapsed="false">
      <c r="A21" s="2" t="s">
        <v>36</v>
      </c>
      <c r="B21" s="9" t="n">
        <f aca="false">IFERROR(SUM(B8:B10)/0.02-SUM(B8:B10),0)</f>
        <v>539000</v>
      </c>
    </row>
    <row r="22" customFormat="false" ht="17.15" hidden="false" customHeight="false" outlineLevel="0" collapsed="false">
      <c r="A22" s="2" t="s">
        <v>37</v>
      </c>
      <c r="B22" s="9" t="n">
        <f aca="false">IFERROR(SUM(B8:B10)/0.05-SUM(B8:B10),0)</f>
        <v>209000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60"/>
  </cols>
  <sheetData>
    <row r="1" customFormat="false" ht="21.6" hidden="false" customHeight="false" outlineLevel="0" collapsed="false">
      <c r="A1" s="1" t="s">
        <v>38</v>
      </c>
    </row>
    <row r="3" customFormat="false" ht="17.15" hidden="false" customHeight="false" outlineLevel="0" collapsed="false">
      <c r="A3" s="3" t="s">
        <v>2</v>
      </c>
      <c r="B3" s="3" t="s">
        <v>39</v>
      </c>
      <c r="C3" s="3" t="s">
        <v>40</v>
      </c>
      <c r="D3" s="3" t="s">
        <v>41</v>
      </c>
    </row>
    <row r="4" customFormat="false" ht="15" hidden="false" customHeight="false" outlineLevel="0" collapsed="false">
      <c r="A4" s="2" t="s">
        <v>42</v>
      </c>
      <c r="B4" s="10" t="n">
        <f aca="false">입력!B11</f>
        <v>0.15</v>
      </c>
      <c r="C4" s="10" t="n">
        <f aca="false">입력!B12</f>
        <v>0.3</v>
      </c>
    </row>
    <row r="5" customFormat="false" ht="17.15" hidden="false" customHeight="false" outlineLevel="0" collapsed="false">
      <c r="A5" s="2" t="s">
        <v>43</v>
      </c>
      <c r="B5" s="9" t="n">
        <f aca="false">입력!$B$4*입력!$B$8+입력!$B$5*입력!$B$9+입력!$B$6*입력!$B$10</f>
        <v>20000000</v>
      </c>
      <c r="C5" s="9" t="n">
        <f aca="false">입력!$B$4*입력!$B$8+입력!$B$5*입력!$B$9+입력!$B$6*입력!$B$10</f>
        <v>20000000</v>
      </c>
      <c r="D5" s="2" t="s">
        <v>44</v>
      </c>
    </row>
    <row r="6" customFormat="false" ht="17.15" hidden="false" customHeight="false" outlineLevel="0" collapsed="false">
      <c r="A6" s="0" t="s">
        <v>45</v>
      </c>
      <c r="B6" s="9" t="n">
        <f aca="false">B5-B5/(1+입력!$B$7)</f>
        <v>1818181.81818182</v>
      </c>
      <c r="C6" s="9" t="n">
        <f aca="false">C5-C5/(1+입력!$B$7)</f>
        <v>1818181.81818182</v>
      </c>
      <c r="D6" s="2" t="s">
        <v>46</v>
      </c>
    </row>
    <row r="7" customFormat="false" ht="17.15" hidden="false" customHeight="false" outlineLevel="0" collapsed="false">
      <c r="A7" s="2" t="s">
        <v>47</v>
      </c>
      <c r="B7" s="9" t="n">
        <f aca="false">B5-B6</f>
        <v>18181818.1818182</v>
      </c>
      <c r="C7" s="9" t="n">
        <f aca="false">C5-C6</f>
        <v>18181818.1818182</v>
      </c>
    </row>
    <row r="8" customFormat="false" ht="17.15" hidden="false" customHeight="false" outlineLevel="0" collapsed="false">
      <c r="A8" s="0" t="s">
        <v>48</v>
      </c>
      <c r="B8" s="9" t="n">
        <f aca="false">B7*B4</f>
        <v>2727272.72727273</v>
      </c>
      <c r="C8" s="9" t="n">
        <f aca="false">C7*C4</f>
        <v>5454545.45454545</v>
      </c>
      <c r="D8" s="2" t="s">
        <v>49</v>
      </c>
    </row>
    <row r="9" customFormat="false" ht="17.15" hidden="false" customHeight="false" outlineLevel="0" collapsed="false">
      <c r="A9" s="11" t="s">
        <v>50</v>
      </c>
      <c r="B9" s="12" t="n">
        <f aca="false">B7-B8</f>
        <v>15454545.4545455</v>
      </c>
      <c r="C9" s="12" t="n">
        <f aca="false">C7-C8</f>
        <v>12727272.7272727</v>
      </c>
    </row>
    <row r="10" customFormat="false" ht="17.15" hidden="false" customHeight="false" outlineLevel="0" collapsed="false">
      <c r="A10" s="0" t="s">
        <v>51</v>
      </c>
      <c r="B10" s="9" t="n">
        <f aca="false">입력!$B$15</f>
        <v>3000000</v>
      </c>
      <c r="C10" s="9" t="n">
        <f aca="false">입력!$B$15</f>
        <v>3000000</v>
      </c>
      <c r="D10" s="0" t="s">
        <v>52</v>
      </c>
    </row>
    <row r="11" customFormat="false" ht="17.15" hidden="false" customHeight="false" outlineLevel="0" collapsed="false">
      <c r="A11" s="0" t="s">
        <v>53</v>
      </c>
      <c r="B11" s="9" t="n">
        <f aca="false">입력!$B$16</f>
        <v>0</v>
      </c>
      <c r="C11" s="9" t="n">
        <f aca="false">입력!$B$16</f>
        <v>0</v>
      </c>
      <c r="D11" s="0" t="s">
        <v>54</v>
      </c>
    </row>
    <row r="12" customFormat="false" ht="17.15" hidden="false" customHeight="false" outlineLevel="0" collapsed="false">
      <c r="A12" s="0" t="s">
        <v>55</v>
      </c>
      <c r="B12" s="9" t="n">
        <f aca="false">입력!$B$17</f>
        <v>0</v>
      </c>
      <c r="C12" s="9" t="n">
        <f aca="false">입력!$B$17</f>
        <v>0</v>
      </c>
    </row>
    <row r="13" customFormat="false" ht="17.15" hidden="false" customHeight="false" outlineLevel="0" collapsed="false">
      <c r="A13" s="11" t="s">
        <v>56</v>
      </c>
      <c r="B13" s="12" t="n">
        <f aca="false">B9-B10-B11-B12</f>
        <v>12454545.4545455</v>
      </c>
      <c r="C13" s="12" t="n">
        <f aca="false">C9-C10-C11-C12</f>
        <v>9727272.72727273</v>
      </c>
    </row>
    <row r="14" customFormat="false" ht="15" hidden="false" customHeight="false" outlineLevel="0" collapsed="false">
      <c r="A14" s="2" t="s">
        <v>57</v>
      </c>
      <c r="B14" s="9" t="n">
        <f aca="false">입력!$B$18</f>
        <v>10000000</v>
      </c>
      <c r="C14" s="9" t="n">
        <f aca="false">입력!$B$18</f>
        <v>10000000</v>
      </c>
    </row>
    <row r="15" customFormat="false" ht="17.15" hidden="false" customHeight="false" outlineLevel="0" collapsed="false">
      <c r="A15" s="2" t="s">
        <v>58</v>
      </c>
      <c r="B15" s="9" t="n">
        <f aca="false">B13-B14</f>
        <v>2454545.45454545</v>
      </c>
      <c r="C15" s="9" t="n">
        <f aca="false">C13-C14</f>
        <v>-272727.272727273</v>
      </c>
      <c r="D15" s="0" t="s">
        <v>59</v>
      </c>
    </row>
    <row r="16" customFormat="false" ht="17.15" hidden="false" customHeight="false" outlineLevel="0" collapsed="false">
      <c r="A16" s="2" t="s">
        <v>60</v>
      </c>
      <c r="B16" s="13" t="str">
        <f aca="false">IF(B13&gt;=B14,"PASS 달성","FAIL 미달")</f>
        <v>PASS 달성</v>
      </c>
      <c r="C16" s="13" t="str">
        <f aca="false">IF(C13&gt;=C14,"PASS 달성","FAIL 미달")</f>
        <v>FAIL 미달</v>
      </c>
    </row>
    <row r="18" customFormat="false" ht="17.15" hidden="false" customHeight="false" outlineLevel="0" collapsed="false">
      <c r="A18" s="11" t="s">
        <v>61</v>
      </c>
    </row>
    <row r="19" customFormat="false" ht="17.15" hidden="false" customHeight="false" outlineLevel="0" collapsed="false">
      <c r="A19" s="3" t="s">
        <v>2</v>
      </c>
      <c r="B19" s="3" t="s">
        <v>39</v>
      </c>
      <c r="C19" s="3" t="s">
        <v>40</v>
      </c>
      <c r="D19" s="3" t="s">
        <v>41</v>
      </c>
    </row>
    <row r="20" customFormat="false" ht="17.15" hidden="false" customHeight="false" outlineLevel="0" collapsed="false">
      <c r="A20" s="11" t="s">
        <v>62</v>
      </c>
      <c r="B20" s="12" t="n">
        <f aca="false">B9-B10-B12-B14</f>
        <v>2454545.45454545</v>
      </c>
      <c r="C20" s="12" t="n">
        <f aca="false">C9-C10-C12-C14</f>
        <v>-272727.272727273</v>
      </c>
      <c r="D20" s="2" t="s">
        <v>63</v>
      </c>
    </row>
    <row r="21" customFormat="false" ht="17.15" hidden="false" customHeight="false" outlineLevel="0" collapsed="false">
      <c r="A21" s="2" t="s">
        <v>64</v>
      </c>
      <c r="B21" s="0" t="str">
        <f aca="false">IF(B20&lt;0,"불가: API 0원이어도 목표 미달",IF(B20=0,"여유 없음","API 예산 여유 있음"))</f>
        <v>API 예산 여유 있음</v>
      </c>
      <c r="C21" s="0" t="str">
        <f aca="false">IF(C20&lt;0,"불가: API 0원이어도 목표 미달",IF(C20=0,"여유 없음","API 예산 여유 있음"))</f>
        <v>불가: API 0원이어도 목표 미달</v>
      </c>
    </row>
    <row r="22" customFormat="false" ht="17.15" hidden="false" customHeight="false" outlineLevel="0" collapsed="false">
      <c r="A22" s="2" t="s">
        <v>65</v>
      </c>
      <c r="B22" s="9" t="n">
        <f aca="false">B20-B11</f>
        <v>2454545.45454545</v>
      </c>
      <c r="C22" s="9" t="n">
        <f aca="false">C20-C11</f>
        <v>-272727.272727273</v>
      </c>
    </row>
  </sheetData>
  <conditionalFormatting sqref="B16:C16">
    <cfRule type="expression" priority="2" aboveAverage="0" equalAverage="0" bottom="0" percent="0" rank="0" text="" dxfId="0">
      <formula>LEFT(B16,4)="PASS"</formula>
    </cfRule>
    <cfRule type="expression" priority="3" aboveAverage="0" equalAverage="0" bottom="0" percent="0" rank="0" text="" dxfId="1">
      <formula>LEFT(B16,4)="FAIL"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8"/>
  </cols>
  <sheetData>
    <row r="1" customFormat="false" ht="21.6" hidden="false" customHeight="false" outlineLevel="0" collapsed="false">
      <c r="A1" s="1" t="s">
        <v>66</v>
      </c>
    </row>
    <row r="2" customFormat="false" ht="17.15" hidden="false" customHeight="false" outlineLevel="0" collapsed="false">
      <c r="A2" s="2" t="s">
        <v>67</v>
      </c>
    </row>
    <row r="4" customFormat="false" ht="17.15" hidden="false" customHeight="false" outlineLevel="0" collapsed="false">
      <c r="A4" s="11" t="s">
        <v>68</v>
      </c>
    </row>
    <row r="5" customFormat="false" ht="17.15" hidden="false" customHeight="false" outlineLevel="0" collapsed="false">
      <c r="A5" s="3" t="s">
        <v>69</v>
      </c>
      <c r="B5" s="14" t="n">
        <v>0</v>
      </c>
      <c r="C5" s="14" t="n">
        <v>1000000</v>
      </c>
      <c r="D5" s="14" t="n">
        <v>3000000</v>
      </c>
      <c r="E5" s="14" t="n">
        <v>5000000</v>
      </c>
      <c r="F5" s="14" t="n">
        <v>8000000</v>
      </c>
    </row>
    <row r="6" customFormat="false" ht="15" hidden="false" customHeight="false" outlineLevel="0" collapsed="false">
      <c r="A6" s="15" t="n">
        <f aca="false">입력!B11</f>
        <v>0.15</v>
      </c>
      <c r="B6" s="6" t="n">
        <f aca="false">((입력!$B$4*입력!$B$8+입력!$B$5*입력!$B$9+입력!$B$6*입력!$B$10)/(1+입력!$B$7))*(1-$A6)-입력!$B$15-B$5-입력!$B$17</f>
        <v>12454545.4545455</v>
      </c>
      <c r="C6" s="6" t="n">
        <f aca="false">((입력!$B$4*입력!$B$8+입력!$B$5*입력!$B$9+입력!$B$6*입력!$B$10)/(1+입력!$B$7))*(1-$A6)-입력!$B$15-C$5-입력!$B$17</f>
        <v>11454545.4545455</v>
      </c>
      <c r="D6" s="6" t="n">
        <f aca="false">((입력!$B$4*입력!$B$8+입력!$B$5*입력!$B$9+입력!$B$6*입력!$B$10)/(1+입력!$B$7))*(1-$A6)-입력!$B$15-D$5-입력!$B$17</f>
        <v>9454545.45454545</v>
      </c>
      <c r="E6" s="6" t="n">
        <f aca="false">((입력!$B$4*입력!$B$8+입력!$B$5*입력!$B$9+입력!$B$6*입력!$B$10)/(1+입력!$B$7))*(1-$A6)-입력!$B$15-E$5-입력!$B$17</f>
        <v>7454545.45454545</v>
      </c>
      <c r="F6" s="6" t="n">
        <f aca="false">((입력!$B$4*입력!$B$8+입력!$B$5*입력!$B$9+입력!$B$6*입력!$B$10)/(1+입력!$B$7))*(1-$A6)-입력!$B$15-F$5-입력!$B$17</f>
        <v>4454545.45454545</v>
      </c>
    </row>
    <row r="7" customFormat="false" ht="15" hidden="false" customHeight="false" outlineLevel="0" collapsed="false">
      <c r="A7" s="15" t="n">
        <f aca="false">입력!B12</f>
        <v>0.3</v>
      </c>
      <c r="B7" s="6" t="n">
        <f aca="false">((입력!$B$4*입력!$B$8+입력!$B$5*입력!$B$9+입력!$B$6*입력!$B$10)/(1+입력!$B$7))*(1-$A7)-입력!$B$15-B$5-입력!$B$17</f>
        <v>9727272.72727273</v>
      </c>
      <c r="C7" s="6" t="n">
        <f aca="false">((입력!$B$4*입력!$B$8+입력!$B$5*입력!$B$9+입력!$B$6*입력!$B$10)/(1+입력!$B$7))*(1-$A7)-입력!$B$15-C$5-입력!$B$17</f>
        <v>8727272.72727273</v>
      </c>
      <c r="D7" s="6" t="n">
        <f aca="false">((입력!$B$4*입력!$B$8+입력!$B$5*입력!$B$9+입력!$B$6*입력!$B$10)/(1+입력!$B$7))*(1-$A7)-입력!$B$15-D$5-입력!$B$17</f>
        <v>6727272.72727273</v>
      </c>
      <c r="E7" s="6" t="n">
        <f aca="false">((입력!$B$4*입력!$B$8+입력!$B$5*입력!$B$9+입력!$B$6*입력!$B$10)/(1+입력!$B$7))*(1-$A7)-입력!$B$15-E$5-입력!$B$17</f>
        <v>4727272.72727273</v>
      </c>
      <c r="F7" s="6" t="n">
        <f aca="false">((입력!$B$4*입력!$B$8+입력!$B$5*입력!$B$9+입력!$B$6*입력!$B$10)/(1+입력!$B$7))*(1-$A7)-입력!$B$15-F$5-입력!$B$17</f>
        <v>1727272.72727272</v>
      </c>
    </row>
    <row r="9" customFormat="false" ht="17.15" hidden="false" customHeight="false" outlineLevel="0" collapsed="false">
      <c r="A9" s="11" t="s">
        <v>70</v>
      </c>
    </row>
    <row r="10" customFormat="false" ht="15" hidden="false" customHeight="false" outlineLevel="0" collapsed="false">
      <c r="A10" s="10" t="n">
        <f aca="false">A6</f>
        <v>0.15</v>
      </c>
      <c r="B10" s="16" t="str">
        <f aca="false">IF(B6&gt;=입력!$B$18,"PASS","FAIL")</f>
        <v>PASS</v>
      </c>
      <c r="C10" s="16" t="str">
        <f aca="false">IF(C6&gt;=입력!$B$18,"PASS","FAIL")</f>
        <v>PASS</v>
      </c>
      <c r="D10" s="16" t="str">
        <f aca="false">IF(D6&gt;=입력!$B$18,"PASS","FAIL")</f>
        <v>FAIL</v>
      </c>
      <c r="E10" s="16" t="str">
        <f aca="false">IF(E6&gt;=입력!$B$18,"PASS","FAIL")</f>
        <v>FAIL</v>
      </c>
      <c r="F10" s="16" t="str">
        <f aca="false">IF(F6&gt;=입력!$B$18,"PASS","FAIL")</f>
        <v>FAIL</v>
      </c>
    </row>
    <row r="11" customFormat="false" ht="15" hidden="false" customHeight="false" outlineLevel="0" collapsed="false">
      <c r="A11" s="10" t="n">
        <f aca="false">A7</f>
        <v>0.3</v>
      </c>
      <c r="B11" s="16" t="str">
        <f aca="false">IF(B7&gt;=입력!$B$18,"PASS","FAIL")</f>
        <v>FAIL</v>
      </c>
      <c r="C11" s="16" t="str">
        <f aca="false">IF(C7&gt;=입력!$B$18,"PASS","FAIL")</f>
        <v>FAIL</v>
      </c>
      <c r="D11" s="16" t="str">
        <f aca="false">IF(D7&gt;=입력!$B$18,"PASS","FAIL")</f>
        <v>FAIL</v>
      </c>
      <c r="E11" s="16" t="str">
        <f aca="false">IF(E7&gt;=입력!$B$18,"PASS","FAIL")</f>
        <v>FAIL</v>
      </c>
      <c r="F11" s="16" t="str">
        <f aca="false">IF(F7&gt;=입력!$B$18,"PASS","FAIL")</f>
        <v>FAIL</v>
      </c>
    </row>
    <row r="14" customFormat="false" ht="17.15" hidden="false" customHeight="false" outlineLevel="0" collapsed="false">
      <c r="A14" s="11" t="s">
        <v>71</v>
      </c>
    </row>
    <row r="15" customFormat="false" ht="17.15" hidden="false" customHeight="false" outlineLevel="0" collapsed="false">
      <c r="A15" s="17" t="s">
        <v>72</v>
      </c>
      <c r="B15" s="14" t="n">
        <v>0</v>
      </c>
      <c r="C15" s="14" t="n">
        <v>500</v>
      </c>
      <c r="D15" s="14" t="n">
        <v>1000</v>
      </c>
      <c r="E15" s="14" t="n">
        <v>2000</v>
      </c>
      <c r="F15" s="14" t="n">
        <v>3000</v>
      </c>
    </row>
    <row r="16" customFormat="false" ht="15" hidden="false" customHeight="false" outlineLevel="0" collapsed="false">
      <c r="A16" s="18" t="n">
        <v>5000</v>
      </c>
      <c r="B16" s="6" t="n">
        <f aca="false">((입력!$B$4*$A16+입력!$B$5*B$15+입력!$B$6*입력!$B$10)/(1+입력!$B$7))*(1-입력!$B$11)-입력!$B$15-입력!$B$16-입력!$B$17</f>
        <v>863636.363636363</v>
      </c>
      <c r="C16" s="6" t="n">
        <f aca="false">((입력!$B$4*$A16+입력!$B$5*C$15+입력!$B$6*입력!$B$10)/(1+입력!$B$7))*(1-입력!$B$11)-입력!$B$15-입력!$B$16-입력!$B$17</f>
        <v>4727272.72727273</v>
      </c>
      <c r="D16" s="6" t="n">
        <f aca="false">((입력!$B$4*$A16+입력!$B$5*D$15+입력!$B$6*입력!$B$10)/(1+입력!$B$7))*(1-입력!$B$11)-입력!$B$15-입력!$B$16-입력!$B$17</f>
        <v>8590909.09090909</v>
      </c>
      <c r="E16" s="6" t="n">
        <f aca="false">((입력!$B$4*$A16+입력!$B$5*E$15+입력!$B$6*입력!$B$10)/(1+입력!$B$7))*(1-입력!$B$11)-입력!$B$15-입력!$B$16-입력!$B$17</f>
        <v>16318181.8181818</v>
      </c>
      <c r="F16" s="6" t="n">
        <f aca="false">((입력!$B$4*$A16+입력!$B$5*F$15+입력!$B$6*입력!$B$10)/(1+입력!$B$7))*(1-입력!$B$11)-입력!$B$15-입력!$B$16-입력!$B$17</f>
        <v>24045454.5454545</v>
      </c>
    </row>
    <row r="17" customFormat="false" ht="15" hidden="false" customHeight="false" outlineLevel="0" collapsed="false">
      <c r="A17" s="18" t="n">
        <v>10000</v>
      </c>
      <c r="B17" s="6" t="n">
        <f aca="false">((입력!$B$4*$A17+입력!$B$5*B$15+입력!$B$6*입력!$B$10)/(1+입력!$B$7))*(1-입력!$B$11)-입력!$B$15-입력!$B$16-입력!$B$17</f>
        <v>4727272.72727273</v>
      </c>
      <c r="C17" s="6" t="n">
        <f aca="false">((입력!$B$4*$A17+입력!$B$5*C$15+입력!$B$6*입력!$B$10)/(1+입력!$B$7))*(1-입력!$B$11)-입력!$B$15-입력!$B$16-입력!$B$17</f>
        <v>8590909.09090909</v>
      </c>
      <c r="D17" s="6" t="n">
        <f aca="false">((입력!$B$4*$A17+입력!$B$5*D$15+입력!$B$6*입력!$B$10)/(1+입력!$B$7))*(1-입력!$B$11)-입력!$B$15-입력!$B$16-입력!$B$17</f>
        <v>12454545.4545455</v>
      </c>
      <c r="E17" s="6" t="n">
        <f aca="false">((입력!$B$4*$A17+입력!$B$5*E$15+입력!$B$6*입력!$B$10)/(1+입력!$B$7))*(1-입력!$B$11)-입력!$B$15-입력!$B$16-입력!$B$17</f>
        <v>20181818.1818182</v>
      </c>
      <c r="F17" s="6" t="n">
        <f aca="false">((입력!$B$4*$A17+입력!$B$5*F$15+입력!$B$6*입력!$B$10)/(1+입력!$B$7))*(1-입력!$B$11)-입력!$B$15-입력!$B$16-입력!$B$17</f>
        <v>27909090.9090909</v>
      </c>
    </row>
    <row r="18" customFormat="false" ht="15" hidden="false" customHeight="false" outlineLevel="0" collapsed="false">
      <c r="A18" s="18" t="n">
        <v>15000</v>
      </c>
      <c r="B18" s="6" t="n">
        <f aca="false">((입력!$B$4*$A18+입력!$B$5*B$15+입력!$B$6*입력!$B$10)/(1+입력!$B$7))*(1-입력!$B$11)-입력!$B$15-입력!$B$16-입력!$B$17</f>
        <v>8590909.09090909</v>
      </c>
      <c r="C18" s="6" t="n">
        <f aca="false">((입력!$B$4*$A18+입력!$B$5*C$15+입력!$B$6*입력!$B$10)/(1+입력!$B$7))*(1-입력!$B$11)-입력!$B$15-입력!$B$16-입력!$B$17</f>
        <v>12454545.4545455</v>
      </c>
      <c r="D18" s="6" t="n">
        <f aca="false">((입력!$B$4*$A18+입력!$B$5*D$15+입력!$B$6*입력!$B$10)/(1+입력!$B$7))*(1-입력!$B$11)-입력!$B$15-입력!$B$16-입력!$B$17</f>
        <v>16318181.8181818</v>
      </c>
      <c r="E18" s="6" t="n">
        <f aca="false">((입력!$B$4*$A18+입력!$B$5*E$15+입력!$B$6*입력!$B$10)/(1+입력!$B$7))*(1-입력!$B$11)-입력!$B$15-입력!$B$16-입력!$B$17</f>
        <v>24045454.5454545</v>
      </c>
      <c r="F18" s="6" t="n">
        <f aca="false">((입력!$B$4*$A18+입력!$B$5*F$15+입력!$B$6*입력!$B$10)/(1+입력!$B$7))*(1-입력!$B$11)-입력!$B$15-입력!$B$16-입력!$B$17</f>
        <v>31772727.2727273</v>
      </c>
    </row>
    <row r="19" customFormat="false" ht="15" hidden="false" customHeight="false" outlineLevel="0" collapsed="false">
      <c r="A19" s="18" t="n">
        <v>20000</v>
      </c>
      <c r="B19" s="6" t="n">
        <f aca="false">((입력!$B$4*$A19+입력!$B$5*B$15+입력!$B$6*입력!$B$10)/(1+입력!$B$7))*(1-입력!$B$11)-입력!$B$15-입력!$B$16-입력!$B$17</f>
        <v>12454545.4545455</v>
      </c>
      <c r="C19" s="6" t="n">
        <f aca="false">((입력!$B$4*$A19+입력!$B$5*C$15+입력!$B$6*입력!$B$10)/(1+입력!$B$7))*(1-입력!$B$11)-입력!$B$15-입력!$B$16-입력!$B$17</f>
        <v>16318181.8181818</v>
      </c>
      <c r="D19" s="6" t="n">
        <f aca="false">((입력!$B$4*$A19+입력!$B$5*D$15+입력!$B$6*입력!$B$10)/(1+입력!$B$7))*(1-입력!$B$11)-입력!$B$15-입력!$B$16-입력!$B$17</f>
        <v>20181818.1818182</v>
      </c>
      <c r="E19" s="6" t="n">
        <f aca="false">((입력!$B$4*$A19+입력!$B$5*E$15+입력!$B$6*입력!$B$10)/(1+입력!$B$7))*(1-입력!$B$11)-입력!$B$15-입력!$B$16-입력!$B$17</f>
        <v>27909090.9090909</v>
      </c>
      <c r="F19" s="6" t="n">
        <f aca="false">((입력!$B$4*$A19+입력!$B$5*F$15+입력!$B$6*입력!$B$10)/(1+입력!$B$7))*(1-입력!$B$11)-입력!$B$15-입력!$B$16-입력!$B$17</f>
        <v>35636363.6363636</v>
      </c>
    </row>
    <row r="23" customFormat="false" ht="17.15" hidden="false" customHeight="false" outlineLevel="0" collapsed="false">
      <c r="A23" s="11" t="s">
        <v>73</v>
      </c>
    </row>
    <row r="24" customFormat="false" ht="17.15" hidden="false" customHeight="false" outlineLevel="0" collapsed="false">
      <c r="A24" s="17" t="s">
        <v>72</v>
      </c>
      <c r="B24" s="14" t="n">
        <v>0</v>
      </c>
      <c r="C24" s="14" t="n">
        <v>500</v>
      </c>
      <c r="D24" s="14" t="n">
        <v>1000</v>
      </c>
      <c r="E24" s="14" t="n">
        <v>2000</v>
      </c>
      <c r="F24" s="14" t="n">
        <v>3000</v>
      </c>
    </row>
    <row r="25" customFormat="false" ht="15" hidden="false" customHeight="false" outlineLevel="0" collapsed="false">
      <c r="A25" s="18" t="n">
        <v>5000</v>
      </c>
      <c r="B25" s="6" t="n">
        <f aca="false">((입력!$B$4*$A25+입력!$B$5*B$24+입력!$B$6*입력!$B$10)/(1+입력!$B$7))*(1-입력!$B$12)-입력!$B$15-입력!$B$16-입력!$B$17</f>
        <v>181818.181818181</v>
      </c>
      <c r="C25" s="6" t="n">
        <f aca="false">((입력!$B$4*$A25+입력!$B$5*C$24+입력!$B$6*입력!$B$10)/(1+입력!$B$7))*(1-입력!$B$12)-입력!$B$15-입력!$B$16-입력!$B$17</f>
        <v>3363636.36363636</v>
      </c>
      <c r="D25" s="6" t="n">
        <f aca="false">((입력!$B$4*$A25+입력!$B$5*D$24+입력!$B$6*입력!$B$10)/(1+입력!$B$7))*(1-입력!$B$12)-입력!$B$15-입력!$B$16-입력!$B$17</f>
        <v>6545454.54545454</v>
      </c>
      <c r="E25" s="6" t="n">
        <f aca="false">((입력!$B$4*$A25+입력!$B$5*E$24+입력!$B$6*입력!$B$10)/(1+입력!$B$7))*(1-입력!$B$12)-입력!$B$15-입력!$B$16-입력!$B$17</f>
        <v>12909090.9090909</v>
      </c>
      <c r="F25" s="6" t="n">
        <f aca="false">((입력!$B$4*$A25+입력!$B$5*F$24+입력!$B$6*입력!$B$10)/(1+입력!$B$7))*(1-입력!$B$12)-입력!$B$15-입력!$B$16-입력!$B$17</f>
        <v>19272727.2727273</v>
      </c>
    </row>
    <row r="26" customFormat="false" ht="15" hidden="false" customHeight="false" outlineLevel="0" collapsed="false">
      <c r="A26" s="18" t="n">
        <v>10000</v>
      </c>
      <c r="B26" s="6" t="n">
        <f aca="false">((입력!$B$4*$A26+입력!$B$5*B$24+입력!$B$6*입력!$B$10)/(1+입력!$B$7))*(1-입력!$B$12)-입력!$B$15-입력!$B$16-입력!$B$17</f>
        <v>3363636.36363636</v>
      </c>
      <c r="C26" s="6" t="n">
        <f aca="false">((입력!$B$4*$A26+입력!$B$5*C$24+입력!$B$6*입력!$B$10)/(1+입력!$B$7))*(1-입력!$B$12)-입력!$B$15-입력!$B$16-입력!$B$17</f>
        <v>6545454.54545454</v>
      </c>
      <c r="D26" s="6" t="n">
        <f aca="false">((입력!$B$4*$A26+입력!$B$5*D$24+입력!$B$6*입력!$B$10)/(1+입력!$B$7))*(1-입력!$B$12)-입력!$B$15-입력!$B$16-입력!$B$17</f>
        <v>9727272.72727273</v>
      </c>
      <c r="E26" s="6" t="n">
        <f aca="false">((입력!$B$4*$A26+입력!$B$5*E$24+입력!$B$6*입력!$B$10)/(1+입력!$B$7))*(1-입력!$B$12)-입력!$B$15-입력!$B$16-입력!$B$17</f>
        <v>16090909.0909091</v>
      </c>
      <c r="F26" s="6" t="n">
        <f aca="false">((입력!$B$4*$A26+입력!$B$5*F$24+입력!$B$6*입력!$B$10)/(1+입력!$B$7))*(1-입력!$B$12)-입력!$B$15-입력!$B$16-입력!$B$17</f>
        <v>22454545.4545455</v>
      </c>
    </row>
    <row r="27" customFormat="false" ht="15" hidden="false" customHeight="false" outlineLevel="0" collapsed="false">
      <c r="A27" s="18" t="n">
        <v>15000</v>
      </c>
      <c r="B27" s="6" t="n">
        <f aca="false">((입력!$B$4*$A27+입력!$B$5*B$24+입력!$B$6*입력!$B$10)/(1+입력!$B$7))*(1-입력!$B$12)-입력!$B$15-입력!$B$16-입력!$B$17</f>
        <v>6545454.54545454</v>
      </c>
      <c r="C27" s="6" t="n">
        <f aca="false">((입력!$B$4*$A27+입력!$B$5*C$24+입력!$B$6*입력!$B$10)/(1+입력!$B$7))*(1-입력!$B$12)-입력!$B$15-입력!$B$16-입력!$B$17</f>
        <v>9727272.72727273</v>
      </c>
      <c r="D27" s="6" t="n">
        <f aca="false">((입력!$B$4*$A27+입력!$B$5*D$24+입력!$B$6*입력!$B$10)/(1+입력!$B$7))*(1-입력!$B$12)-입력!$B$15-입력!$B$16-입력!$B$17</f>
        <v>12909090.9090909</v>
      </c>
      <c r="E27" s="6" t="n">
        <f aca="false">((입력!$B$4*$A27+입력!$B$5*E$24+입력!$B$6*입력!$B$10)/(1+입력!$B$7))*(1-입력!$B$12)-입력!$B$15-입력!$B$16-입력!$B$17</f>
        <v>19272727.2727273</v>
      </c>
      <c r="F27" s="6" t="n">
        <f aca="false">((입력!$B$4*$A27+입력!$B$5*F$24+입력!$B$6*입력!$B$10)/(1+입력!$B$7))*(1-입력!$B$12)-입력!$B$15-입력!$B$16-입력!$B$17</f>
        <v>25636363.6363636</v>
      </c>
    </row>
    <row r="28" customFormat="false" ht="15" hidden="false" customHeight="false" outlineLevel="0" collapsed="false">
      <c r="A28" s="18" t="n">
        <v>20000</v>
      </c>
      <c r="B28" s="6" t="n">
        <f aca="false">((입력!$B$4*$A28+입력!$B$5*B$24+입력!$B$6*입력!$B$10)/(1+입력!$B$7))*(1-입력!$B$12)-입력!$B$15-입력!$B$16-입력!$B$17</f>
        <v>9727272.72727273</v>
      </c>
      <c r="C28" s="6" t="n">
        <f aca="false">((입력!$B$4*$A28+입력!$B$5*C$24+입력!$B$6*입력!$B$10)/(1+입력!$B$7))*(1-입력!$B$12)-입력!$B$15-입력!$B$16-입력!$B$17</f>
        <v>12909090.9090909</v>
      </c>
      <c r="D28" s="6" t="n">
        <f aca="false">((입력!$B$4*$A28+입력!$B$5*D$24+입력!$B$6*입력!$B$10)/(1+입력!$B$7))*(1-입력!$B$12)-입력!$B$15-입력!$B$16-입력!$B$17</f>
        <v>16090909.0909091</v>
      </c>
      <c r="E28" s="6" t="n">
        <f aca="false">((입력!$B$4*$A28+입력!$B$5*E$24+입력!$B$6*입력!$B$10)/(1+입력!$B$7))*(1-입력!$B$12)-입력!$B$15-입력!$B$16-입력!$B$17</f>
        <v>22454545.4545455</v>
      </c>
      <c r="F28" s="6" t="n">
        <f aca="false">((입력!$B$4*$A28+입력!$B$5*F$24+입력!$B$6*입력!$B$10)/(1+입력!$B$7))*(1-입력!$B$12)-입력!$B$15-입력!$B$16-입력!$B$17</f>
        <v>28818181.8181818</v>
      </c>
    </row>
  </sheetData>
  <conditionalFormatting sqref="B6:F7">
    <cfRule type="cellIs" priority="2" operator="greaterThanOrEqual" aboveAverage="0" equalAverage="0" bottom="0" percent="0" rank="0" text="" dxfId="0">
      <formula>입력!$B$18</formula>
    </cfRule>
    <cfRule type="cellIs" priority="3" operator="lessThan" aboveAverage="0" equalAverage="0" bottom="0" percent="0" rank="0" text="" dxfId="1">
      <formula>입력!$B$18</formula>
    </cfRule>
  </conditionalFormatting>
  <conditionalFormatting sqref="B16:F19">
    <cfRule type="cellIs" priority="4" operator="greaterThanOrEqual" aboveAverage="0" equalAverage="0" bottom="0" percent="0" rank="0" text="" dxfId="0">
      <formula>입력!$B$18</formula>
    </cfRule>
    <cfRule type="cellIs" priority="5" operator="lessThan" aboveAverage="0" equalAverage="0" bottom="0" percent="0" rank="0" text="" dxfId="1">
      <formula>입력!$B$18</formula>
    </cfRule>
  </conditionalFormatting>
  <conditionalFormatting sqref="B25:F28">
    <cfRule type="cellIs" priority="6" operator="greaterThanOrEqual" aboveAverage="0" equalAverage="0" bottom="0" percent="0" rank="0" text="" dxfId="0">
      <formula>입력!$B$18</formula>
    </cfRule>
    <cfRule type="cellIs" priority="7" operator="lessThan" aboveAverage="0" equalAverage="0" bottom="0" percent="0" rank="0" text="" dxfId="1">
      <formula>입력!$B$18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0"/>
  </cols>
  <sheetData>
    <row r="1" customFormat="false" ht="21.6" hidden="false" customHeight="false" outlineLevel="0" collapsed="false">
      <c r="A1" s="19" t="s">
        <v>74</v>
      </c>
    </row>
    <row r="3" customFormat="false" ht="17.15" hidden="false" customHeight="false" outlineLevel="0" collapsed="false">
      <c r="A3" s="3" t="s">
        <v>75</v>
      </c>
      <c r="B3" s="3" t="s">
        <v>76</v>
      </c>
      <c r="C3" s="3" t="s">
        <v>77</v>
      </c>
      <c r="D3" s="3" t="s">
        <v>78</v>
      </c>
      <c r="E3" s="3" t="s">
        <v>79</v>
      </c>
    </row>
    <row r="4" customFormat="false" ht="17.15" hidden="false" customHeight="false" outlineLevel="0" collapsed="false">
      <c r="A4" s="20" t="s">
        <v>80</v>
      </c>
      <c r="B4" s="21" t="n">
        <f aca="false">0</f>
        <v>0</v>
      </c>
      <c r="C4" s="20" t="s">
        <v>81</v>
      </c>
      <c r="D4" s="22" t="s">
        <v>82</v>
      </c>
      <c r="E4" s="23" t="s">
        <v>83</v>
      </c>
    </row>
    <row r="5" customFormat="false" ht="17.15" hidden="false" customHeight="false" outlineLevel="0" collapsed="false">
      <c r="A5" s="20" t="s">
        <v>84</v>
      </c>
      <c r="B5" s="21" t="n">
        <f aca="false">입력!B4</f>
        <v>1000</v>
      </c>
      <c r="C5" s="20" t="s">
        <v>85</v>
      </c>
      <c r="D5" s="22" t="s">
        <v>86</v>
      </c>
      <c r="E5" s="23" t="s">
        <v>83</v>
      </c>
    </row>
    <row r="6" customFormat="false" ht="17.15" hidden="false" customHeight="false" outlineLevel="0" collapsed="false">
      <c r="A6" s="20" t="s">
        <v>87</v>
      </c>
      <c r="B6" s="21" t="n">
        <f aca="false">입력!B5</f>
        <v>10000</v>
      </c>
      <c r="C6" s="20" t="s">
        <v>88</v>
      </c>
      <c r="D6" s="22" t="s">
        <v>89</v>
      </c>
      <c r="E6" s="23" t="s">
        <v>83</v>
      </c>
    </row>
    <row r="7" customFormat="false" ht="17.15" hidden="false" customHeight="false" outlineLevel="0" collapsed="false">
      <c r="A7" s="20" t="s">
        <v>90</v>
      </c>
      <c r="B7" s="21" t="n">
        <f aca="false">입력!B6</f>
        <v>20000</v>
      </c>
      <c r="C7" s="22" t="s">
        <v>91</v>
      </c>
      <c r="D7" s="22" t="s">
        <v>92</v>
      </c>
      <c r="E7" s="23" t="s">
        <v>83</v>
      </c>
    </row>
    <row r="9" customFormat="false" ht="17.15" hidden="false" customHeight="false" outlineLevel="0" collapsed="false">
      <c r="A9" s="2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94</v>
      </c>
    </row>
    <row r="3" customFormat="false" ht="48" hidden="false" customHeight="true" outlineLevel="0" collapsed="false">
      <c r="A3" s="24" t="s">
        <v>95</v>
      </c>
    </row>
    <row r="4" customFormat="false" ht="48" hidden="false" customHeight="true" outlineLevel="0" collapsed="false">
      <c r="A4" s="24" t="s">
        <v>96</v>
      </c>
    </row>
    <row r="5" customFormat="false" ht="48" hidden="false" customHeight="true" outlineLevel="0" collapsed="false">
      <c r="A5" s="24" t="s">
        <v>97</v>
      </c>
    </row>
    <row r="6" customFormat="false" ht="48" hidden="false" customHeight="true" outlineLevel="0" collapsed="false">
      <c r="A6" s="24" t="s">
        <v>98</v>
      </c>
    </row>
    <row r="7" customFormat="false" ht="48" hidden="false" customHeight="true" outlineLevel="0" collapsed="false">
      <c r="A7" s="24" t="s">
        <v>99</v>
      </c>
    </row>
    <row r="8" customFormat="false" ht="48" hidden="false" customHeight="true" outlineLevel="0" collapsed="false">
      <c r="A8" s="24" t="s">
        <v>100</v>
      </c>
    </row>
    <row r="9" customFormat="false" ht="48" hidden="false" customHeight="true" outlineLevel="0" collapsed="false">
      <c r="A9" s="24" t="s">
        <v>101</v>
      </c>
    </row>
    <row r="10" customFormat="false" ht="48" hidden="false" customHeight="true" outlineLevel="0" collapsed="false">
      <c r="A10" s="24" t="s">
        <v>102</v>
      </c>
    </row>
    <row r="11" customFormat="false" ht="48" hidden="false" customHeight="true" outlineLevel="0" collapsed="false">
      <c r="A11" s="2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2026-09-29T06:42:13Z</dcterms:created>
  <dc:creator>openpyxl</dc:creator>
  <dc:description/>
  <dc:language>en-US</dc:language>
  <cp:lastModifiedBy/>
  <dcterms:modified xsi:type="dcterms:W3CDTF">2026-09-29T06:42:13Z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